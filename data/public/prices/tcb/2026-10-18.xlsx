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3" i="4"/>
  <c r="G92" i="4"/>
  <c r="G90" i="4"/>
  <c r="G96" i="4"/>
  <c r="G89" i="4"/>
  <c r="G95" i="4"/>
  <c r="G91" i="4"/>
  <c r="L71" i="4"/>
  <c r="G97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<sst xmlns="http://schemas.openxmlformats.org/spreadsheetml/2006/main" count="246" uniqueCount="135">
  <si>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</si>
  <si>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</si>
  <si>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</si>
  <si>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</si>
  <si>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</si>
  <si>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</si>
  <si>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</si>
  <si>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</si>
  <si>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</si>
  <si>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</si>
  <si>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</si>
  <si>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</si>
  <si>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</si>
  <si>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</si>
  <si>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</si>
  <si>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</si>
  <si>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</si>
  <si>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</si>
  <si>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</si>
  <si>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</si>
  <si>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</si>
  <si>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</si>
  <si>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</si>
  <si>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</si>
  <si>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</si>
  <si>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</si>
  <si>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</si>
  <si>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</si>
  <si>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</si>
  <si>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</si>
  <si>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</si>
  <si>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</si>
  <si>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</si>
  <si>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</si>
  <si>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</si>
  <si>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</si>
  <si>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</si>
  <si>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</si>
  <si>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</si>
  <si>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</si>
  <si>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</si>
  <si>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</si>
  <si>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</si>
  <si>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</si>
  <si>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</si>
  <si>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</si>
  <si>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</si>
  <si>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</si>
  <si>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</si>
  <si>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</si>
  <si>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</si>
  <si>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</si>
  <si>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</si>
  <si>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</si>
  <si>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</si>
  <si>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</si>
  <si>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</si>
  <si>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</si>
  <si>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</si>
  <si>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</si>
  <si>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</si>
  <si>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</si>
  <si>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</si>
  <si>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</si>
  <si>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</si>
  <si>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</si>
  <si>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</si>
  <si>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</si>
  <si>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</si>
  <si>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</si>
  <si>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</si>
  <si>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</si>
  <si>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</si>
  <si>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</si>
  <si>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</si>
  <si>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</si>
  <si>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</si>
  <si>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</si>
  <si>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</si>
  <si>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</si>
  <si>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</si>
  <si>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</si>
  <si>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</si>
  <si>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</si>
  <si>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</si>
  <si>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</si>
  <si>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</si>
  <si>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</si>
  <si>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</si>
  <si>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</si>
  <si>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</si>
  <si>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</si>
  <si>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</si>
  <si>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</si>
  <si>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</si>
  <si>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</si>
  <si>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</si>
  <si>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</si>
  <si>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</si>
  <si>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</si>
  <si>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</si>
  <si>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</si>
  <si>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</si>
  <si>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</si>
  <si>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</si>
  <si>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</si>
  <si>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</si>
  <si>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</si>
  <si>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</si>
  <si>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</si>
  <si>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</si>
  <si>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</si>
  <si>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</si>
  <si>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</si>
  <si>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</si>
  <si>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</si>
  <si>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</si>
  <si>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</si>
  <si>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</si>
  <si>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</si>
  <si>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</si>
  <si>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</si>
  <si>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</si>
  <si>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</si>
  <si>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১২-১০-২০২৬ তারিখে মূল্য হ্রাস পেয়েছে।</t>
  </si>
  <si>
    <t>১৩-১০-২০২৬ তারিখে মূল্য হ্রাস পেয়েছে।</t>
  </si>
  <si>
    <t>১৪-১০-২০২৬ তারিখে মূল্য হ্রাস পেয়েছে।</t>
  </si>
  <si>
    <t>১৫-১০-২০২৬ তারিখে মূল্য বৃদ্ধি পেয়েছে।</t>
  </si>
  <si>
    <t>১৬-১০-২০২৬ তারিখে মূল্য বৃদ্ধি পেয়েছে।</t>
  </si>
  <si>
    <t xml:space="preserve">নং-২৬.০৫.০০০০.০১৭.৩১.০১.২৬-৮৩২                                                                                                           তারিখঃ ১৮-১০-২০২৬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</si>
  <si>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২৬১</t>
  </si>
  <si>
    <t xml:space="preserve">রবিবার ১৮ অক্টোবর ২০২৬ খ্রিঃ, ০২ কার্তিক ১৪৩৩ বাংলা, ০৬ জমা.আউ ১৪৪৮ হিজরি </t>
  </si>
  <si>
    <t>১৮-১০-২০২৬ তারিখে মূল্য বৃদ্ধি পেয়েছে।</t>
  </si>
  <si>
    <t>(১)     ছোলা, রসুন (দেশী, আম), আদা (দেশী, আম), বেগুন  এর মূল্য বৃদ্ধি পেয়েছে।</t>
  </si>
  <si>
    <t>(২)    চাল (মাঝারী), দারুচিনি,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</si>
</sst>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zoomScaleNormal="100" workbookViewId="0">
      <selection activeCell="H97" sqref="H97:J97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3" t="s">
        <v>115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116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130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131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51"/>
      <c r="Q4" s="51"/>
      <c r="R4" s="51"/>
    </row>
    <row r="5" spans="1:18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52"/>
      <c r="Q5" s="53"/>
    </row>
    <row r="6" spans="1:18" s="27" customFormat="1">
      <c r="A6" s="88" t="s">
        <v>1</v>
      </c>
      <c r="B6" s="88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4" t="s">
        <v>6</v>
      </c>
      <c r="J6" s="74" t="s">
        <v>7</v>
      </c>
      <c r="K6" s="75"/>
      <c r="L6" s="26" t="s">
        <v>8</v>
      </c>
      <c r="M6" s="49"/>
    </row>
    <row r="7" spans="1:18" s="27" customFormat="1">
      <c r="A7" s="89"/>
      <c r="B7" s="89"/>
      <c r="C7" s="92">
        <v>46313</v>
      </c>
      <c r="D7" s="93"/>
      <c r="E7" s="92">
        <v>46306</v>
      </c>
      <c r="F7" s="93"/>
      <c r="G7" s="92">
        <v>46283</v>
      </c>
      <c r="H7" s="93"/>
      <c r="I7" s="24" t="s">
        <v>9</v>
      </c>
      <c r="J7" s="90">
        <v>45948</v>
      </c>
      <c r="K7" s="91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-1.6260162601626018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80</v>
      </c>
      <c r="H18" s="37">
        <v>85</v>
      </c>
      <c r="I18" s="46">
        <f>((C18+D18)/2-(G18+H18)/2)/((G18+H18)/2)*100</f>
        <v>6.0606060606060606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900</v>
      </c>
      <c r="K21" s="37">
        <v>930</v>
      </c>
      <c r="L21" s="47">
        <f t="shared" ref="L21:L25" si="2">((C21+D21)/2-(J21+K21)/2)/((J21+K21)/2)*100</f>
        <v>9.2896174863387984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195</v>
      </c>
      <c r="L23" s="47">
        <f t="shared" si="2"/>
        <v>6.5274151436031342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166</v>
      </c>
      <c r="H24" s="37">
        <v>172</v>
      </c>
      <c r="I24" s="46">
        <f t="shared" si="1"/>
        <v>1.4792899408284024</v>
      </c>
      <c r="J24" s="37">
        <v>153</v>
      </c>
      <c r="K24" s="37">
        <v>162</v>
      </c>
      <c r="L24" s="47">
        <f t="shared" si="2"/>
        <v>8.8888888888888893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178</v>
      </c>
      <c r="I25" s="46">
        <f t="shared" si="1"/>
        <v>2.0114942528735633</v>
      </c>
      <c r="J25" s="37">
        <v>155</v>
      </c>
      <c r="K25" s="37">
        <v>168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110</v>
      </c>
      <c r="D33" s="37">
        <v>125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11.904761904761903</v>
      </c>
      <c r="J33" s="37">
        <v>100</v>
      </c>
      <c r="K33" s="37">
        <v>110</v>
      </c>
      <c r="L33" s="47">
        <f t="shared" si="4"/>
        <v>11.904761904761903</v>
      </c>
      <c r="M33" s="49">
        <f t="shared" si="0"/>
        <v>11.904761904761903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85</v>
      </c>
      <c r="L36" s="47">
        <f t="shared" ref="L36:L50" si="6">((C36+D36)/2-(J36+K36)/2)/((J36+K36)/2)*100</f>
        <v>-29.032258064516132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140</v>
      </c>
      <c r="E38" s="37">
        <v>90</v>
      </c>
      <c r="F38" s="37">
        <v>140</v>
      </c>
      <c r="G38" s="37">
        <v>100</v>
      </c>
      <c r="H38" s="37">
        <v>120</v>
      </c>
      <c r="I38" s="46">
        <f t="shared" si="5"/>
        <v>9.0909090909090917</v>
      </c>
      <c r="J38" s="37">
        <v>100</v>
      </c>
      <c r="K38" s="37">
        <v>140</v>
      </c>
      <c r="L38" s="47">
        <f t="shared" si="6"/>
        <v>0</v>
      </c>
      <c r="M38" s="49">
        <f t="shared" si="0"/>
        <v>4.3478260869565215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230</v>
      </c>
      <c r="E39" s="39">
        <v>160</v>
      </c>
      <c r="F39" s="37">
        <v>200</v>
      </c>
      <c r="G39" s="39">
        <v>180</v>
      </c>
      <c r="H39" s="37">
        <v>210</v>
      </c>
      <c r="I39" s="46">
        <f t="shared" si="5"/>
        <v>0</v>
      </c>
      <c r="J39" s="37">
        <v>130</v>
      </c>
      <c r="K39" s="37">
        <v>200</v>
      </c>
      <c r="L39" s="47">
        <f t="shared" si="6"/>
        <v>18.181818181818183</v>
      </c>
      <c r="M39" s="49">
        <f t="shared" si="0"/>
        <v>8.3333333333333321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100</v>
      </c>
      <c r="F44" s="37">
        <v>140</v>
      </c>
      <c r="G44" s="37">
        <v>120</v>
      </c>
      <c r="H44" s="37">
        <v>140</v>
      </c>
      <c r="I44" s="46">
        <f t="shared" si="5"/>
        <v>0</v>
      </c>
      <c r="J44" s="37">
        <v>180</v>
      </c>
      <c r="K44" s="37">
        <v>200</v>
      </c>
      <c r="L44" s="47">
        <f>((C44+D44)/2-(J44+K44)/2)/((J44+K44)/2)*100</f>
        <v>-31.578947368421051</v>
      </c>
      <c r="M44" s="49">
        <f t="shared" si="0"/>
        <v>8.3333333333333321</v>
      </c>
    </row>
    <row r="45" spans="1:13" s="48" customFormat="1" ht="19.5">
      <c r="A45" s="43" t="s">
        <v>47</v>
      </c>
      <c r="B45" s="44" t="s">
        <v>14</v>
      </c>
      <c r="C45" s="37">
        <v>140</v>
      </c>
      <c r="D45" s="37">
        <v>230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27.586206896551722</v>
      </c>
      <c r="J45" s="37">
        <v>130</v>
      </c>
      <c r="K45" s="37">
        <v>250</v>
      </c>
      <c r="L45" s="47">
        <f t="shared" si="6"/>
        <v>-2.6315789473684208</v>
      </c>
      <c r="M45" s="49">
        <f t="shared" si="0"/>
        <v>23.333333333333332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-1.8181818181818181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-100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-2.6315789473684208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8" t="s">
        <v>1</v>
      </c>
      <c r="B68" s="88" t="s">
        <v>2</v>
      </c>
      <c r="C68" s="74" t="s">
        <v>3</v>
      </c>
      <c r="D68" s="75"/>
      <c r="E68" s="74" t="s">
        <v>4</v>
      </c>
      <c r="F68" s="75"/>
      <c r="G68" s="74" t="s">
        <v>5</v>
      </c>
      <c r="H68" s="75"/>
      <c r="I68" s="24" t="s">
        <v>6</v>
      </c>
      <c r="J68" s="74" t="s">
        <v>7</v>
      </c>
      <c r="K68" s="75"/>
      <c r="L68" s="24" t="s">
        <v>8</v>
      </c>
    </row>
    <row r="69" spans="1:13" ht="18" customHeight="1">
      <c r="A69" s="89"/>
      <c r="B69" s="89"/>
      <c r="C69" s="92">
        <v>46313</v>
      </c>
      <c r="D69" s="93"/>
      <c r="E69" s="92">
        <v>46306</v>
      </c>
      <c r="F69" s="93"/>
      <c r="G69" s="92">
        <v>46283</v>
      </c>
      <c r="H69" s="93"/>
      <c r="I69" s="24" t="s">
        <v>9</v>
      </c>
      <c r="J69" s="90">
        <v>45948</v>
      </c>
      <c r="K69" s="91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80</v>
      </c>
      <c r="H75" s="37">
        <v>160</v>
      </c>
      <c r="I75" s="46">
        <f t="shared" si="9"/>
        <v>25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70</v>
      </c>
      <c r="F76" s="37">
        <v>120</v>
      </c>
      <c r="G76" s="37">
        <v>80</v>
      </c>
      <c r="H76" s="37">
        <v>120</v>
      </c>
      <c r="I76" s="46">
        <f t="shared" si="9"/>
        <v>0</v>
      </c>
      <c r="J76" s="45">
        <v>70</v>
      </c>
      <c r="K76" s="45">
        <v>150</v>
      </c>
      <c r="L76" s="47">
        <f t="shared" si="10"/>
        <v>-9.0909090909090917</v>
      </c>
      <c r="M76" s="49">
        <f t="shared" si="11"/>
        <v>5.2631578947368416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60</v>
      </c>
      <c r="F77" s="37">
        <v>80</v>
      </c>
      <c r="G77" s="37">
        <v>50</v>
      </c>
      <c r="H77" s="37">
        <v>80</v>
      </c>
      <c r="I77" s="46">
        <f t="shared" si="9"/>
        <v>7.6923076923076925</v>
      </c>
      <c r="J77" s="45">
        <v>50</v>
      </c>
      <c r="K77" s="45">
        <v>80</v>
      </c>
      <c r="L77" s="47">
        <f t="shared" si="10"/>
        <v>7.6923076923076925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47</v>
      </c>
      <c r="F78" s="42">
        <v>50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0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79" t="s">
        <v>117</v>
      </c>
      <c r="B82" s="80"/>
      <c r="C82" s="82" t="s">
        <v>123</v>
      </c>
      <c r="D82" s="82"/>
      <c r="E82" s="82"/>
      <c r="F82" s="82"/>
      <c r="G82" s="82"/>
      <c r="H82" s="82"/>
      <c r="I82" s="82"/>
      <c r="J82" s="82"/>
      <c r="K82" s="82"/>
      <c r="L82" s="82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1" t="s">
        <v>133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</row>
    <row r="85" spans="1:13">
      <c r="A85" s="61"/>
      <c r="B85" s="81" t="s">
        <v>134</v>
      </c>
      <c r="C85" s="81"/>
      <c r="D85" s="81"/>
      <c r="E85" s="81"/>
      <c r="F85" s="81"/>
      <c r="G85" s="81"/>
      <c r="H85" s="81"/>
      <c r="I85" s="81"/>
      <c r="J85" s="81"/>
      <c r="K85" s="81"/>
      <c r="L85" s="81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4" t="s">
        <v>3</v>
      </c>
      <c r="D88" s="75"/>
      <c r="E88" s="76" t="s">
        <v>78</v>
      </c>
      <c r="F88" s="77"/>
      <c r="G88" s="25" t="s">
        <v>9</v>
      </c>
      <c r="H88" s="74" t="s">
        <v>79</v>
      </c>
      <c r="I88" s="78"/>
      <c r="J88" s="75"/>
      <c r="K88" s="9"/>
      <c r="L88" s="2"/>
    </row>
    <row r="89" spans="1:13">
      <c r="A89" s="43" t="s">
        <v>93</v>
      </c>
      <c r="B89" s="44" t="s">
        <v>14</v>
      </c>
      <c r="C89" s="37">
        <v>56</v>
      </c>
      <c r="D89" s="37">
        <v>65</v>
      </c>
      <c r="E89" s="37">
        <v>58</v>
      </c>
      <c r="F89" s="37">
        <v>65</v>
      </c>
      <c r="G89" s="30">
        <f t="shared" ref="G89:G97" si="12">((C89+D89)/2-(E89+F89)/2)/((E89+F89)/2)*100</f>
        <v>-1.6260162601626018</v>
      </c>
      <c r="H89" s="74" t="s">
        <v>125</v>
      </c>
      <c r="I89" s="78"/>
      <c r="J89" s="75"/>
      <c r="K89" s="9"/>
      <c r="L89" s="71"/>
    </row>
    <row r="90" spans="1:13">
      <c r="A90" s="43" t="s">
        <v>37</v>
      </c>
      <c r="B90" s="44" t="s">
        <v>14</v>
      </c>
      <c r="C90" s="37">
        <v>110</v>
      </c>
      <c r="D90" s="37">
        <v>125</v>
      </c>
      <c r="E90" s="37">
        <v>100</v>
      </c>
      <c r="F90" s="37">
        <v>110</v>
      </c>
      <c r="G90" s="30">
        <f t="shared" si="12"/>
        <v>11.904761904761903</v>
      </c>
      <c r="H90" s="74" t="s">
        <v>132</v>
      </c>
      <c r="I90" s="78"/>
      <c r="J90" s="75"/>
      <c r="K90" s="9"/>
      <c r="L90" s="72"/>
    </row>
    <row r="91" spans="1:13">
      <c r="A91" s="43" t="s">
        <v>40</v>
      </c>
      <c r="B91" s="44" t="s">
        <v>14</v>
      </c>
      <c r="C91" s="37">
        <v>100</v>
      </c>
      <c r="D91" s="37">
        <v>140</v>
      </c>
      <c r="E91" s="37">
        <v>90</v>
      </c>
      <c r="F91" s="37">
        <v>140</v>
      </c>
      <c r="G91" s="30">
        <f t="shared" si="12"/>
        <v>4.3478260869565215</v>
      </c>
      <c r="H91" s="74" t="s">
        <v>127</v>
      </c>
      <c r="I91" s="78"/>
      <c r="J91" s="75"/>
      <c r="K91" s="9"/>
      <c r="L91" s="70"/>
    </row>
    <row r="92" spans="1:13">
      <c r="A92" s="43" t="s">
        <v>41</v>
      </c>
      <c r="B92" s="44" t="s">
        <v>14</v>
      </c>
      <c r="C92" s="39">
        <v>160</v>
      </c>
      <c r="D92" s="37">
        <v>230</v>
      </c>
      <c r="E92" s="39">
        <v>160</v>
      </c>
      <c r="F92" s="37">
        <v>200</v>
      </c>
      <c r="G92" s="30">
        <f t="shared" si="12"/>
        <v>8.3333333333333321</v>
      </c>
      <c r="H92" s="74" t="s">
        <v>128</v>
      </c>
      <c r="I92" s="78"/>
      <c r="J92" s="75"/>
      <c r="K92" s="9"/>
      <c r="L92" s="73"/>
    </row>
    <row r="93" spans="1:13">
      <c r="A93" s="43" t="s">
        <v>46</v>
      </c>
      <c r="B93" s="44" t="s">
        <v>14</v>
      </c>
      <c r="C93" s="37">
        <v>120</v>
      </c>
      <c r="D93" s="37">
        <v>140</v>
      </c>
      <c r="E93" s="37">
        <v>100</v>
      </c>
      <c r="F93" s="37">
        <v>140</v>
      </c>
      <c r="G93" s="30">
        <f t="shared" si="12"/>
        <v>8.3333333333333321</v>
      </c>
      <c r="H93" s="74" t="s">
        <v>128</v>
      </c>
      <c r="I93" s="78"/>
      <c r="J93" s="75"/>
      <c r="K93" s="9"/>
      <c r="L93" s="73"/>
    </row>
    <row r="94" spans="1:13">
      <c r="A94" s="43" t="s">
        <v>47</v>
      </c>
      <c r="B94" s="44" t="s">
        <v>14</v>
      </c>
      <c r="C94" s="37">
        <v>140</v>
      </c>
      <c r="D94" s="37">
        <v>230</v>
      </c>
      <c r="E94" s="37">
        <v>120</v>
      </c>
      <c r="F94" s="37">
        <v>180</v>
      </c>
      <c r="G94" s="30">
        <f t="shared" si="12"/>
        <v>23.333333333333332</v>
      </c>
      <c r="H94" s="74" t="s">
        <v>132</v>
      </c>
      <c r="I94" s="78"/>
      <c r="J94" s="75"/>
      <c r="K94" s="9"/>
      <c r="L94" s="73"/>
    </row>
    <row r="95" spans="1:13">
      <c r="A95" s="43" t="s">
        <v>49</v>
      </c>
      <c r="B95" s="44" t="s">
        <v>14</v>
      </c>
      <c r="C95" s="37">
        <v>480</v>
      </c>
      <c r="D95" s="37">
        <v>600</v>
      </c>
      <c r="E95" s="37">
        <v>500</v>
      </c>
      <c r="F95" s="37">
        <v>600</v>
      </c>
      <c r="G95" s="30">
        <f t="shared" si="12"/>
        <v>-1.8181818181818181</v>
      </c>
      <c r="H95" s="74" t="s">
        <v>124</v>
      </c>
      <c r="I95" s="78"/>
      <c r="J95" s="75"/>
      <c r="K95" s="9"/>
      <c r="L95" s="71"/>
    </row>
    <row r="96" spans="1:13">
      <c r="A96" s="43" t="s">
        <v>57</v>
      </c>
      <c r="B96" s="44" t="s">
        <v>14</v>
      </c>
      <c r="C96" s="37">
        <v>180</v>
      </c>
      <c r="D96" s="37">
        <v>190</v>
      </c>
      <c r="E96" s="37">
        <v>180</v>
      </c>
      <c r="F96" s="37">
        <v>200</v>
      </c>
      <c r="G96" s="30">
        <f t="shared" si="12"/>
        <v>-2.6315789473684208</v>
      </c>
      <c r="H96" s="74" t="s">
        <v>126</v>
      </c>
      <c r="I96" s="78"/>
      <c r="J96" s="75"/>
      <c r="K96" s="9"/>
      <c r="L96" s="72"/>
    </row>
    <row r="97" spans="1:12">
      <c r="A97" s="43" t="s">
        <v>103</v>
      </c>
      <c r="B97" s="50" t="s">
        <v>14</v>
      </c>
      <c r="C97" s="37">
        <v>80</v>
      </c>
      <c r="D97" s="37">
        <v>120</v>
      </c>
      <c r="E97" s="37">
        <v>70</v>
      </c>
      <c r="F97" s="37">
        <v>120</v>
      </c>
      <c r="G97" s="30">
        <f t="shared" si="12"/>
        <v>5.2631578947368416</v>
      </c>
      <c r="H97" s="74" t="s">
        <v>132</v>
      </c>
      <c r="I97" s="78"/>
      <c r="J97" s="75"/>
      <c r="K97" s="9"/>
      <c r="L97" s="67"/>
    </row>
    <row r="98" spans="1:12">
      <c r="A98" s="62"/>
      <c r="B98" s="63"/>
      <c r="C98" s="57"/>
      <c r="D98" s="57"/>
      <c r="E98" s="57"/>
      <c r="F98" s="57"/>
      <c r="G98" s="58"/>
      <c r="H98" s="69"/>
      <c r="I98" s="69"/>
      <c r="J98" s="69"/>
      <c r="K98" s="9"/>
      <c r="L98" s="68"/>
    </row>
    <row r="99" spans="1:12">
      <c r="A99" s="62"/>
      <c r="B99" s="63"/>
      <c r="C99" s="57"/>
      <c r="D99" s="57"/>
      <c r="E99" s="57"/>
      <c r="F99" s="57"/>
      <c r="G99" s="58"/>
      <c r="H99" s="69"/>
      <c r="I99" s="69"/>
      <c r="J99" s="69"/>
      <c r="K99" s="9"/>
      <c r="L99" s="67"/>
    </row>
    <row r="100" spans="1:12">
      <c r="A100" s="54"/>
      <c r="B100" s="55"/>
      <c r="C100" s="56"/>
      <c r="D100" s="57"/>
      <c r="E100" s="56"/>
      <c r="F100" s="57"/>
      <c r="G100" s="58"/>
      <c r="H100" s="6"/>
      <c r="I100" s="1"/>
      <c r="J100" s="1"/>
      <c r="K100" s="9"/>
      <c r="L100" s="11"/>
    </row>
    <row r="101" spans="1:12">
      <c r="A101" s="6"/>
      <c r="B101" s="12"/>
      <c r="C101" s="3"/>
      <c r="D101" s="3"/>
      <c r="E101" s="3"/>
      <c r="F101" s="3"/>
      <c r="G101" s="4"/>
      <c r="H101" s="6"/>
      <c r="I101" s="1"/>
      <c r="J101" s="1"/>
      <c r="K101" s="11"/>
      <c r="L101" s="11"/>
    </row>
    <row r="102" spans="1:12">
      <c r="A102" s="6"/>
      <c r="B102" s="13" t="s">
        <v>110</v>
      </c>
      <c r="C102" s="2"/>
      <c r="E102" s="6"/>
      <c r="F102" s="13" t="s">
        <v>119</v>
      </c>
      <c r="G102" s="2"/>
      <c r="I102" s="14"/>
      <c r="J102" s="1"/>
      <c r="K102" s="2"/>
      <c r="L102" s="11"/>
    </row>
    <row r="103" spans="1:12">
      <c r="A103" s="15"/>
      <c r="B103" s="13" t="s">
        <v>109</v>
      </c>
      <c r="C103" s="1"/>
      <c r="E103" s="15"/>
      <c r="F103" s="13" t="s">
        <v>120</v>
      </c>
      <c r="G103" s="1"/>
      <c r="I103" s="2"/>
      <c r="J103" s="1"/>
      <c r="L103" s="11"/>
    </row>
    <row r="104" spans="1:12">
      <c r="A104" s="6"/>
      <c r="C104" s="5"/>
      <c r="D104" s="5"/>
      <c r="E104" s="1"/>
      <c r="F104" s="5"/>
      <c r="G104" s="4"/>
      <c r="H104" s="16"/>
      <c r="I104" s="11"/>
      <c r="J104" s="11"/>
      <c r="K104" s="11"/>
      <c r="L104" s="11"/>
    </row>
    <row r="105" spans="1:12">
      <c r="A105" s="17" t="s">
        <v>86</v>
      </c>
      <c r="B105" s="18"/>
      <c r="C105" s="19"/>
      <c r="D105" s="18"/>
      <c r="E105" s="19"/>
      <c r="F105" s="19"/>
      <c r="G105" s="19"/>
      <c r="H105" s="20"/>
      <c r="I105" s="2"/>
      <c r="J105" s="2"/>
      <c r="K105" s="2"/>
      <c r="L105" s="2"/>
    </row>
    <row r="106" spans="1:12">
      <c r="A106" s="21" t="s">
        <v>111</v>
      </c>
      <c r="B106" s="18"/>
      <c r="C106" s="19"/>
      <c r="D106" s="18"/>
      <c r="E106" s="19"/>
      <c r="F106" s="19"/>
      <c r="G106" s="18"/>
      <c r="H106" s="20"/>
      <c r="I106" s="2"/>
      <c r="J106" s="2"/>
      <c r="K106" s="2"/>
      <c r="L106" s="2"/>
    </row>
    <row r="107" spans="1:12">
      <c r="A107" s="21" t="s">
        <v>105</v>
      </c>
      <c r="B107" s="18"/>
      <c r="C107" s="18"/>
      <c r="D107" s="18"/>
      <c r="E107" s="18"/>
      <c r="F107" s="19"/>
      <c r="G107" s="18"/>
      <c r="H107" s="20"/>
      <c r="I107" s="2"/>
      <c r="J107" s="2"/>
      <c r="K107" s="2"/>
      <c r="L107" s="2"/>
    </row>
    <row r="108" spans="1:12">
      <c r="A108" s="21" t="s">
        <v>80</v>
      </c>
      <c r="B108" s="18"/>
      <c r="C108" s="18"/>
      <c r="D108" s="18"/>
      <c r="E108" s="18"/>
      <c r="F108" s="20"/>
      <c r="G108" s="20"/>
      <c r="H108" s="20"/>
      <c r="I108" s="2"/>
      <c r="J108" s="2"/>
      <c r="K108" s="2"/>
      <c r="L108" s="2"/>
    </row>
    <row r="109" spans="1:12">
      <c r="A109" s="21" t="s">
        <v>106</v>
      </c>
      <c r="B109" s="18"/>
      <c r="C109" s="18"/>
      <c r="D109" s="18"/>
      <c r="E109" s="18"/>
      <c r="F109" s="18"/>
      <c r="G109" s="20"/>
      <c r="H109" s="20"/>
      <c r="I109" s="2"/>
      <c r="J109" s="2"/>
      <c r="K109" s="2"/>
      <c r="L109" s="2"/>
    </row>
    <row r="110" spans="1:12">
      <c r="A110" s="21" t="s">
        <v>89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95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88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87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90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112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107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/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17" t="s">
        <v>82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83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113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114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99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441" spans="2:2">
      <c r="B441" s="10" t="s">
        <v>108</v>
      </c>
    </row>
  </sheetData>
  <mergeCells count="41">
    <mergeCell ref="B84:L84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8:D88"/>
    <mergeCell ref="E88:F88"/>
    <mergeCell ref="H88:J88"/>
    <mergeCell ref="H97:J97"/>
    <mergeCell ref="A82:B82"/>
    <mergeCell ref="B85:L85"/>
    <mergeCell ref="H95:J95"/>
    <mergeCell ref="H89:J89"/>
    <mergeCell ref="H90:J90"/>
    <mergeCell ref="H96:J96"/>
    <mergeCell ref="H92:J92"/>
    <mergeCell ref="H93:J93"/>
    <mergeCell ref="H94:J94"/>
    <mergeCell ref="H91:J91"/>
    <mergeCell ref="C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2026-10-18T08:24:22Z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