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price'!$A$1:$L$126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5" i="4"/>
  <c r="G89" i="4" l="1"/>
  <c r="G94" i="4"/>
  <c r="G91" i="4" l="1"/>
  <c r="G93" i="4" l="1"/>
  <c r="L71" i="4"/>
  <c r="G96" i="4"/>
  <c r="G90" i="4"/>
  <c r="G97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<sst xmlns="http://schemas.openxmlformats.org/spreadsheetml/2006/main" count="246" uniqueCount="136">
  <si>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</si>
  <si>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</si>
  <si>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</si>
  <si>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</si>
  <si>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</si>
  <si>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</si>
  <si>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</si>
  <si>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</si>
  <si>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</si>
  <si>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</si>
  <si>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</si>
  <si>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</si>
  <si>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</si>
  <si>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</si>
  <si>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</si>
  <si>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</si>
  <si>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</si>
  <si>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</si>
  <si>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</si>
  <si>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</si>
  <si>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</si>
  <si>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</si>
  <si>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</si>
  <si>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</si>
  <si>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</si>
  <si>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</si>
  <si>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</si>
  <si>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</si>
  <si>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</si>
  <si>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</si>
  <si>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</si>
  <si>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</si>
  <si>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</si>
  <si>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</si>
  <si>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</si>
  <si>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</si>
  <si>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</si>
  <si>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</si>
  <si>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</si>
  <si>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</si>
  <si>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</si>
  <si>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</si>
  <si>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</si>
  <si>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</si>
  <si>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</si>
  <si>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</si>
  <si>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</si>
  <si>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</si>
  <si>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</si>
  <si>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</si>
  <si>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</si>
  <si>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</si>
  <si>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</si>
  <si>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</si>
  <si>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</si>
  <si>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</si>
  <si>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</si>
  <si>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</si>
  <si>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</si>
  <si>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</si>
  <si>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</si>
  <si>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</si>
  <si>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</si>
  <si>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</si>
  <si>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</si>
  <si>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</si>
  <si>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</si>
  <si>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</si>
  <si>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</si>
  <si>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</si>
  <si>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</si>
  <si>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</si>
  <si>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</si>
  <si>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</si>
  <si>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</si>
  <si>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</si>
  <si>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</si>
  <si>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</si>
  <si>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</si>
  <si>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</si>
  <si>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</si>
  <si>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</si>
  <si>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</si>
  <si>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</si>
  <si>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</si>
  <si>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</si>
  <si>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</si>
  <si>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</si>
  <si>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</si>
  <si>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</si>
  <si>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</si>
  <si>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</si>
  <si>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</si>
  <si>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</si>
  <si>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</si>
  <si>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</si>
  <si>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</si>
  <si>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</si>
  <si>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</si>
  <si>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</si>
  <si>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</si>
  <si>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</si>
  <si>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</si>
  <si>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</si>
  <si>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</si>
  <si>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</si>
  <si>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</si>
  <si>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</si>
  <si>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</si>
  <si>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</si>
  <si>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</si>
  <si>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</si>
  <si>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</si>
  <si>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</si>
  <si>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</si>
  <si>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</si>
  <si>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</si>
  <si>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</si>
  <si>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</si>
  <si>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</si>
  <si>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</si>
  <si>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</si>
  <si>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</si>
  <si>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</si>
  <si>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০৯-১০-২০২৬ তারিখে মূল্য বৃদ্ধি পেয়েছে।</t>
  </si>
  <si>
    <t>০৯-১০-২০২৬ তারিখে মূল্য হ্রাস পেয়েছে।</t>
  </si>
  <si>
    <t>১১-১০-২০২৬ তারিখে মূল্য হ্রাস পেয়েছে।</t>
  </si>
  <si>
    <t>১২-১০-২০২৬ তারিখে মূল্য হ্রাস পেয়েছে।</t>
  </si>
  <si>
    <t>১৩-১০-২০২৬ তারিখে মূল্য হ্রাস পেয়েছে।</t>
  </si>
  <si>
    <t xml:space="preserve">নং-২৬.০৫.০০০০.০১৭.৩১.০১.২৬-৮১৯                                                                                                           তারিখঃ ১৪-১০-২০২৬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</si>
  <si>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২৫৭</t>
  </si>
  <si>
    <t xml:space="preserve">বুধবার ১৪ অক্টোবর ২০২৬ খ্রিঃ, ২৯ আশ্বিন ১৪৩৩ বাংলা, ০২ জমা.আউ ১৪৪৮ হিজরি </t>
  </si>
  <si>
    <t>১৪-১০-২০২৬ তারিখে মূল্য বৃদ্ধি পেয়েছে।</t>
  </si>
  <si>
    <t>১৪-১০-২০২৬ তারিখে মূল্য হ্রাস পেয়েছে।</t>
  </si>
  <si>
    <t>(১)     ছোলা, রসুন (দেশী)   এর মূল্য বৃদ্ধি পেয়েছে।</t>
  </si>
  <si>
    <t>(২)    চাল (মাঝারী), সয়াবিন লুজ, পাম অয়েল লুজ, দারুচিনি, মুরগী ব্রয়লার, শসা,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</si>
</sst>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40503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"/>
  <sheetViews>
    <sheetView tabSelected="1" topLeftCell="A22" zoomScaleNormal="100" workbookViewId="0">
      <selection activeCell="J33" activeCellId="3" sqref="J7:K15 J17:K17 J19:K29 J33:K40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5" t="s">
        <v>115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130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1"/>
      <c r="Q4" s="51"/>
      <c r="R4" s="51"/>
    </row>
    <row r="5" spans="1:18">
      <c r="A5" s="89" t="s">
        <v>129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2"/>
      <c r="Q5" s="53"/>
    </row>
    <row r="6" spans="1:18" s="27" customFormat="1">
      <c r="A6" s="79" t="s">
        <v>1</v>
      </c>
      <c r="B6" s="79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>
      <c r="A7" s="80"/>
      <c r="B7" s="80"/>
      <c r="C7" s="81">
        <v>46309</v>
      </c>
      <c r="D7" s="82"/>
      <c r="E7" s="81">
        <v>46302</v>
      </c>
      <c r="F7" s="82"/>
      <c r="G7" s="81">
        <v>46279</v>
      </c>
      <c r="H7" s="82"/>
      <c r="I7" s="24" t="s">
        <v>9</v>
      </c>
      <c r="J7" s="83">
        <v>45944</v>
      </c>
      <c r="K7" s="84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0.83333333333333337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-1.6260162601626018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190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-0.25641025641025639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890</v>
      </c>
      <c r="K21" s="37">
        <v>935</v>
      </c>
      <c r="L21" s="47">
        <f t="shared" ref="L21:L25" si="2">((C21+D21)/2-(J21+K21)/2)/((J21+K21)/2)*100</f>
        <v>9.5890410958904102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388</v>
      </c>
      <c r="L22" s="47">
        <f t="shared" si="2"/>
        <v>7.470511140235911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188</v>
      </c>
      <c r="K23" s="37">
        <v>195</v>
      </c>
      <c r="L23" s="47">
        <f t="shared" si="2"/>
        <v>6.5274151436031342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170</v>
      </c>
      <c r="F24" s="37">
        <v>175</v>
      </c>
      <c r="G24" s="37">
        <v>166</v>
      </c>
      <c r="H24" s="37">
        <v>172</v>
      </c>
      <c r="I24" s="46">
        <f t="shared" si="1"/>
        <v>1.4792899408284024</v>
      </c>
      <c r="J24" s="37">
        <v>153</v>
      </c>
      <c r="K24" s="37">
        <v>162</v>
      </c>
      <c r="L24" s="47">
        <f t="shared" si="2"/>
        <v>8.8888888888888893</v>
      </c>
      <c r="M24" s="49">
        <f t="shared" si="0"/>
        <v>-0.57971014492753625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163</v>
      </c>
      <c r="L25" s="47">
        <f t="shared" si="2"/>
        <v>11.635220125786164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75</v>
      </c>
      <c r="L32" s="47">
        <f t="shared" si="4"/>
        <v>0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105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2.3809523809523809</v>
      </c>
      <c r="J33" s="37">
        <v>100</v>
      </c>
      <c r="K33" s="37">
        <v>115</v>
      </c>
      <c r="L33" s="47">
        <f t="shared" si="4"/>
        <v>0</v>
      </c>
      <c r="M33" s="49">
        <f t="shared" si="0"/>
        <v>2.3809523809523809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140</v>
      </c>
      <c r="E38" s="37">
        <v>90</v>
      </c>
      <c r="F38" s="37">
        <v>120</v>
      </c>
      <c r="G38" s="37">
        <v>100</v>
      </c>
      <c r="H38" s="37">
        <v>120</v>
      </c>
      <c r="I38" s="46">
        <f t="shared" si="5"/>
        <v>4.5454545454545459</v>
      </c>
      <c r="J38" s="37">
        <v>100</v>
      </c>
      <c r="K38" s="37">
        <v>140</v>
      </c>
      <c r="L38" s="47">
        <f t="shared" si="6"/>
        <v>-4.1666666666666661</v>
      </c>
      <c r="M38" s="49">
        <f t="shared" si="0"/>
        <v>9.5238095238095237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160</v>
      </c>
      <c r="H39" s="37">
        <v>200</v>
      </c>
      <c r="I39" s="46">
        <f t="shared" si="5"/>
        <v>0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100</v>
      </c>
      <c r="F44" s="37">
        <v>140</v>
      </c>
      <c r="G44" s="37">
        <v>120</v>
      </c>
      <c r="H44" s="37">
        <v>140</v>
      </c>
      <c r="I44" s="46">
        <f t="shared" si="5"/>
        <v>-7.6923076923076925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180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-1.8181818181818181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780</v>
      </c>
      <c r="L55" s="47">
        <f t="shared" si="8"/>
        <v>7.8431372549019605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-2.6315789473684208</v>
      </c>
      <c r="J57" s="37">
        <v>170</v>
      </c>
      <c r="K57" s="37">
        <v>190</v>
      </c>
      <c r="L57" s="47">
        <f t="shared" si="8"/>
        <v>2.7777777777777777</v>
      </c>
      <c r="M57" s="49">
        <f t="shared" si="0"/>
        <v>-2.6315789473684208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79" t="s">
        <v>1</v>
      </c>
      <c r="B68" s="79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>
      <c r="A69" s="80"/>
      <c r="B69" s="80"/>
      <c r="C69" s="81">
        <v>46309</v>
      </c>
      <c r="D69" s="82"/>
      <c r="E69" s="81">
        <v>46302</v>
      </c>
      <c r="F69" s="82"/>
      <c r="G69" s="81">
        <v>46279</v>
      </c>
      <c r="H69" s="82"/>
      <c r="I69" s="24" t="s">
        <v>9</v>
      </c>
      <c r="J69" s="83">
        <v>45944</v>
      </c>
      <c r="K69" s="84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74">
        <v>105</v>
      </c>
      <c r="K71" s="74">
        <v>110</v>
      </c>
      <c r="L71" s="47">
        <f>((C71+D71)/2-(J71+K71)/2)/((J71+K71)/2)*100</f>
        <v>4.6511627906976747</v>
      </c>
      <c r="M71" s="49">
        <f t="shared" si="0"/>
        <v>0</v>
      </c>
    </row>
    <row r="72" spans="1:13" s="49" customFormat="1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74">
        <v>220</v>
      </c>
      <c r="K72" s="74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74">
        <v>38</v>
      </c>
      <c r="K73" s="74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180</v>
      </c>
      <c r="E75" s="37">
        <v>100</v>
      </c>
      <c r="F75" s="37">
        <v>180</v>
      </c>
      <c r="G75" s="37">
        <v>80</v>
      </c>
      <c r="H75" s="37">
        <v>160</v>
      </c>
      <c r="I75" s="46">
        <f t="shared" si="9"/>
        <v>16.666666666666664</v>
      </c>
      <c r="J75" s="45">
        <v>240</v>
      </c>
      <c r="K75" s="45">
        <v>250</v>
      </c>
      <c r="L75" s="47">
        <f t="shared" si="10"/>
        <v>-42.857142857142854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80</v>
      </c>
      <c r="F76" s="37">
        <v>120</v>
      </c>
      <c r="G76" s="37">
        <v>80</v>
      </c>
      <c r="H76" s="37">
        <v>120</v>
      </c>
      <c r="I76" s="46">
        <f t="shared" si="9"/>
        <v>0</v>
      </c>
      <c r="J76" s="45">
        <v>70</v>
      </c>
      <c r="K76" s="45">
        <v>100</v>
      </c>
      <c r="L76" s="47">
        <f t="shared" si="10"/>
        <v>17.647058823529413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80</v>
      </c>
      <c r="E77" s="37">
        <v>70</v>
      </c>
      <c r="F77" s="37">
        <v>80</v>
      </c>
      <c r="G77" s="37">
        <v>40</v>
      </c>
      <c r="H77" s="37">
        <v>80</v>
      </c>
      <c r="I77" s="46">
        <f t="shared" si="9"/>
        <v>16.666666666666664</v>
      </c>
      <c r="J77" s="45">
        <v>50</v>
      </c>
      <c r="K77" s="45">
        <v>60</v>
      </c>
      <c r="L77" s="47">
        <f t="shared" si="10"/>
        <v>27.27272727272727</v>
      </c>
      <c r="M77" s="49">
        <f t="shared" si="11"/>
        <v>-6.666666666666667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48</v>
      </c>
      <c r="F78" s="42">
        <v>54</v>
      </c>
      <c r="G78" s="42">
        <v>48</v>
      </c>
      <c r="H78" s="42">
        <v>50</v>
      </c>
      <c r="I78" s="46">
        <f t="shared" si="9"/>
        <v>-1.0204081632653061</v>
      </c>
      <c r="J78" s="75">
        <v>45</v>
      </c>
      <c r="K78" s="75">
        <v>50</v>
      </c>
      <c r="L78" s="47">
        <f>((C78+D78)/2-(J78+K78)/2)/((J78+K78)/2)*100</f>
        <v>2.1052631578947367</v>
      </c>
      <c r="M78" s="49">
        <f t="shared" si="11"/>
        <v>-4.9019607843137258</v>
      </c>
    </row>
    <row r="79" spans="1:13" s="49" customFormat="1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75">
        <v>30</v>
      </c>
      <c r="K79" s="75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74">
        <v>83500</v>
      </c>
      <c r="K80" s="74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74">
        <v>76000</v>
      </c>
      <c r="K81" s="75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94" t="s">
        <v>117</v>
      </c>
      <c r="B82" s="95"/>
      <c r="C82" s="90" t="s">
        <v>123</v>
      </c>
      <c r="D82" s="90"/>
      <c r="E82" s="90"/>
      <c r="F82" s="90"/>
      <c r="G82" s="90"/>
      <c r="H82" s="90"/>
      <c r="I82" s="90"/>
      <c r="J82" s="90"/>
      <c r="K82" s="90"/>
      <c r="L82" s="90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91" t="s">
        <v>134</v>
      </c>
      <c r="C84" s="91"/>
      <c r="D84" s="91"/>
      <c r="E84" s="91"/>
      <c r="F84" s="91"/>
      <c r="G84" s="91"/>
      <c r="H84" s="91"/>
      <c r="I84" s="91"/>
      <c r="J84" s="91"/>
      <c r="K84" s="91"/>
      <c r="L84" s="91"/>
    </row>
    <row r="85" spans="1:13">
      <c r="A85" s="61"/>
      <c r="B85" s="91" t="s">
        <v>135</v>
      </c>
      <c r="C85" s="91"/>
      <c r="D85" s="91"/>
      <c r="E85" s="91"/>
      <c r="F85" s="91"/>
      <c r="G85" s="91"/>
      <c r="H85" s="91"/>
      <c r="I85" s="91"/>
      <c r="J85" s="91"/>
      <c r="K85" s="91"/>
      <c r="L85" s="91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6" t="s">
        <v>3</v>
      </c>
      <c r="D88" s="78"/>
      <c r="E88" s="92" t="s">
        <v>78</v>
      </c>
      <c r="F88" s="93"/>
      <c r="G88" s="25" t="s">
        <v>9</v>
      </c>
      <c r="H88" s="76" t="s">
        <v>79</v>
      </c>
      <c r="I88" s="77"/>
      <c r="J88" s="78"/>
      <c r="K88" s="9"/>
      <c r="L88" s="2"/>
    </row>
    <row r="89" spans="1:13">
      <c r="A89" s="43" t="s">
        <v>93</v>
      </c>
      <c r="B89" s="44" t="s">
        <v>14</v>
      </c>
      <c r="C89" s="37">
        <v>56</v>
      </c>
      <c r="D89" s="37">
        <v>65</v>
      </c>
      <c r="E89" s="37">
        <v>58</v>
      </c>
      <c r="F89" s="37">
        <v>65</v>
      </c>
      <c r="G89" s="30">
        <f t="shared" ref="G89:G97" si="12">((C89+D89)/2-(E89+F89)/2)/((E89+F89)/2)*100</f>
        <v>-1.6260162601626018</v>
      </c>
      <c r="H89" s="76" t="s">
        <v>128</v>
      </c>
      <c r="I89" s="77"/>
      <c r="J89" s="78"/>
      <c r="K89" s="9"/>
      <c r="L89" s="72"/>
    </row>
    <row r="90" spans="1:13">
      <c r="A90" s="43" t="s">
        <v>23</v>
      </c>
      <c r="B90" s="44" t="s">
        <v>24</v>
      </c>
      <c r="C90" s="39">
        <v>189</v>
      </c>
      <c r="D90" s="37">
        <v>200</v>
      </c>
      <c r="E90" s="39">
        <v>190</v>
      </c>
      <c r="F90" s="37">
        <v>200</v>
      </c>
      <c r="G90" s="30">
        <f t="shared" si="12"/>
        <v>-0.25641025641025639</v>
      </c>
      <c r="H90" s="76" t="s">
        <v>126</v>
      </c>
      <c r="I90" s="77"/>
      <c r="J90" s="78"/>
      <c r="K90" s="9"/>
      <c r="L90" s="67"/>
    </row>
    <row r="91" spans="1:13">
      <c r="A91" s="43" t="s">
        <v>29</v>
      </c>
      <c r="B91" s="44" t="s">
        <v>24</v>
      </c>
      <c r="C91" s="37">
        <v>168</v>
      </c>
      <c r="D91" s="37">
        <v>175</v>
      </c>
      <c r="E91" s="37">
        <v>170</v>
      </c>
      <c r="F91" s="37">
        <v>175</v>
      </c>
      <c r="G91" s="30">
        <f t="shared" si="12"/>
        <v>-0.57971014492753625</v>
      </c>
      <c r="H91" s="76" t="s">
        <v>126</v>
      </c>
      <c r="I91" s="77"/>
      <c r="J91" s="78"/>
      <c r="K91" s="9"/>
      <c r="L91" s="71"/>
    </row>
    <row r="92" spans="1:13">
      <c r="A92" s="43" t="s">
        <v>37</v>
      </c>
      <c r="B92" s="44" t="s">
        <v>14</v>
      </c>
      <c r="C92" s="37">
        <v>105</v>
      </c>
      <c r="D92" s="37">
        <v>110</v>
      </c>
      <c r="E92" s="37">
        <v>100</v>
      </c>
      <c r="F92" s="37">
        <v>110</v>
      </c>
      <c r="G92" s="30">
        <f t="shared" si="12"/>
        <v>2.3809523809523809</v>
      </c>
      <c r="H92" s="76" t="s">
        <v>132</v>
      </c>
      <c r="I92" s="77"/>
      <c r="J92" s="78"/>
      <c r="K92" s="9"/>
      <c r="L92" s="73"/>
    </row>
    <row r="93" spans="1:13">
      <c r="A93" s="43" t="s">
        <v>40</v>
      </c>
      <c r="B93" s="44" t="s">
        <v>14</v>
      </c>
      <c r="C93" s="37">
        <v>90</v>
      </c>
      <c r="D93" s="37">
        <v>140</v>
      </c>
      <c r="E93" s="37">
        <v>90</v>
      </c>
      <c r="F93" s="37">
        <v>120</v>
      </c>
      <c r="G93" s="30">
        <f t="shared" si="12"/>
        <v>9.5238095238095237</v>
      </c>
      <c r="H93" s="76" t="s">
        <v>124</v>
      </c>
      <c r="I93" s="77"/>
      <c r="J93" s="78"/>
      <c r="K93" s="9"/>
      <c r="L93" s="70"/>
    </row>
    <row r="94" spans="1:13">
      <c r="A94" s="43" t="s">
        <v>49</v>
      </c>
      <c r="B94" s="44" t="s">
        <v>14</v>
      </c>
      <c r="C94" s="37">
        <v>480</v>
      </c>
      <c r="D94" s="37">
        <v>600</v>
      </c>
      <c r="E94" s="37">
        <v>500</v>
      </c>
      <c r="F94" s="37">
        <v>600</v>
      </c>
      <c r="G94" s="30">
        <f t="shared" si="12"/>
        <v>-1.8181818181818181</v>
      </c>
      <c r="H94" s="76" t="s">
        <v>127</v>
      </c>
      <c r="I94" s="77"/>
      <c r="J94" s="78"/>
      <c r="K94" s="9"/>
      <c r="L94" s="72"/>
    </row>
    <row r="95" spans="1:13">
      <c r="A95" s="43" t="s">
        <v>57</v>
      </c>
      <c r="B95" s="44" t="s">
        <v>14</v>
      </c>
      <c r="C95" s="37">
        <v>180</v>
      </c>
      <c r="D95" s="37">
        <v>190</v>
      </c>
      <c r="E95" s="37">
        <v>180</v>
      </c>
      <c r="F95" s="37">
        <v>200</v>
      </c>
      <c r="G95" s="30">
        <f t="shared" si="12"/>
        <v>-2.6315789473684208</v>
      </c>
      <c r="H95" s="76" t="s">
        <v>133</v>
      </c>
      <c r="I95" s="77"/>
      <c r="J95" s="78"/>
      <c r="K95" s="9"/>
      <c r="L95" s="73"/>
    </row>
    <row r="96" spans="1:13">
      <c r="A96" s="43" t="s">
        <v>104</v>
      </c>
      <c r="B96" s="50" t="s">
        <v>14</v>
      </c>
      <c r="C96" s="37">
        <v>60</v>
      </c>
      <c r="D96" s="37">
        <v>80</v>
      </c>
      <c r="E96" s="37">
        <v>70</v>
      </c>
      <c r="F96" s="37">
        <v>80</v>
      </c>
      <c r="G96" s="30">
        <f t="shared" si="12"/>
        <v>-6.666666666666667</v>
      </c>
      <c r="H96" s="76" t="s">
        <v>126</v>
      </c>
      <c r="I96" s="77"/>
      <c r="J96" s="78"/>
      <c r="K96" s="9"/>
      <c r="L96" s="67"/>
    </row>
    <row r="97" spans="1:12">
      <c r="A97" s="43" t="s">
        <v>68</v>
      </c>
      <c r="B97" s="44" t="s">
        <v>69</v>
      </c>
      <c r="C97" s="42">
        <v>47</v>
      </c>
      <c r="D97" s="42">
        <v>50</v>
      </c>
      <c r="E97" s="42">
        <v>48</v>
      </c>
      <c r="F97" s="42">
        <v>54</v>
      </c>
      <c r="G97" s="30">
        <f t="shared" si="12"/>
        <v>-4.9019607843137258</v>
      </c>
      <c r="H97" s="76" t="s">
        <v>125</v>
      </c>
      <c r="I97" s="77"/>
      <c r="J97" s="78"/>
      <c r="K97" s="9"/>
      <c r="L97" s="2"/>
    </row>
    <row r="98" spans="1:12">
      <c r="A98" s="62"/>
      <c r="B98" s="63"/>
      <c r="C98" s="57"/>
      <c r="D98" s="57"/>
      <c r="E98" s="57"/>
      <c r="F98" s="57"/>
      <c r="G98" s="58"/>
      <c r="H98" s="69"/>
      <c r="I98" s="69"/>
      <c r="J98" s="69"/>
      <c r="K98" s="9"/>
      <c r="L98" s="68"/>
    </row>
    <row r="99" spans="1:12">
      <c r="A99" s="62"/>
      <c r="B99" s="63"/>
      <c r="C99" s="57"/>
      <c r="D99" s="57"/>
      <c r="E99" s="57"/>
      <c r="F99" s="57"/>
      <c r="G99" s="58"/>
      <c r="H99" s="69"/>
      <c r="I99" s="69"/>
      <c r="J99" s="69"/>
      <c r="K99" s="9"/>
      <c r="L99" s="67"/>
    </row>
    <row r="100" spans="1:12">
      <c r="A100" s="54"/>
      <c r="B100" s="55"/>
      <c r="C100" s="56"/>
      <c r="D100" s="57"/>
      <c r="E100" s="56"/>
      <c r="F100" s="57"/>
      <c r="G100" s="58"/>
      <c r="H100" s="6"/>
      <c r="I100" s="1"/>
      <c r="J100" s="1"/>
      <c r="K100" s="9"/>
      <c r="L100" s="11"/>
    </row>
    <row r="101" spans="1:12">
      <c r="A101" s="6"/>
      <c r="B101" s="12"/>
      <c r="C101" s="3"/>
      <c r="D101" s="3"/>
      <c r="E101" s="3"/>
      <c r="F101" s="3"/>
      <c r="G101" s="4"/>
      <c r="H101" s="6"/>
      <c r="I101" s="1"/>
      <c r="J101" s="1"/>
      <c r="K101" s="11"/>
      <c r="L101" s="11"/>
    </row>
    <row r="102" spans="1:12">
      <c r="A102" s="6"/>
      <c r="B102" s="13" t="s">
        <v>110</v>
      </c>
      <c r="C102" s="2"/>
      <c r="E102" s="6"/>
      <c r="F102" s="13" t="s">
        <v>119</v>
      </c>
      <c r="G102" s="2"/>
      <c r="I102" s="14"/>
      <c r="J102" s="1"/>
      <c r="K102" s="2"/>
      <c r="L102" s="11"/>
    </row>
    <row r="103" spans="1:12">
      <c r="A103" s="15"/>
      <c r="B103" s="13" t="s">
        <v>109</v>
      </c>
      <c r="C103" s="1"/>
      <c r="E103" s="15"/>
      <c r="F103" s="13" t="s">
        <v>120</v>
      </c>
      <c r="G103" s="1"/>
      <c r="I103" s="2"/>
      <c r="J103" s="1"/>
      <c r="L103" s="11"/>
    </row>
    <row r="104" spans="1:12">
      <c r="A104" s="6"/>
      <c r="C104" s="5"/>
      <c r="D104" s="5"/>
      <c r="E104" s="1"/>
      <c r="F104" s="5"/>
      <c r="G104" s="4"/>
      <c r="H104" s="16"/>
      <c r="I104" s="11"/>
      <c r="J104" s="11"/>
      <c r="K104" s="11"/>
      <c r="L104" s="11"/>
    </row>
    <row r="105" spans="1:12">
      <c r="A105" s="17" t="s">
        <v>86</v>
      </c>
      <c r="B105" s="18"/>
      <c r="C105" s="19"/>
      <c r="D105" s="18"/>
      <c r="E105" s="19"/>
      <c r="F105" s="19"/>
      <c r="G105" s="19"/>
      <c r="H105" s="20"/>
      <c r="I105" s="2"/>
      <c r="J105" s="2"/>
      <c r="K105" s="2"/>
      <c r="L105" s="2"/>
    </row>
    <row r="106" spans="1:12">
      <c r="A106" s="21" t="s">
        <v>111</v>
      </c>
      <c r="B106" s="18"/>
      <c r="C106" s="19"/>
      <c r="D106" s="18"/>
      <c r="E106" s="19"/>
      <c r="F106" s="19"/>
      <c r="G106" s="18"/>
      <c r="H106" s="20"/>
      <c r="I106" s="2"/>
      <c r="J106" s="2"/>
      <c r="K106" s="2"/>
      <c r="L106" s="2"/>
    </row>
    <row r="107" spans="1:12">
      <c r="A107" s="21" t="s">
        <v>105</v>
      </c>
      <c r="B107" s="18"/>
      <c r="C107" s="18"/>
      <c r="D107" s="18"/>
      <c r="E107" s="18"/>
      <c r="F107" s="19"/>
      <c r="G107" s="18"/>
      <c r="H107" s="20"/>
      <c r="I107" s="2"/>
      <c r="J107" s="2"/>
      <c r="K107" s="2"/>
      <c r="L107" s="2"/>
    </row>
    <row r="108" spans="1:12">
      <c r="A108" s="21" t="s">
        <v>80</v>
      </c>
      <c r="B108" s="18"/>
      <c r="C108" s="18"/>
      <c r="D108" s="18"/>
      <c r="E108" s="18"/>
      <c r="F108" s="20"/>
      <c r="G108" s="20"/>
      <c r="H108" s="20"/>
      <c r="I108" s="2"/>
      <c r="J108" s="2"/>
      <c r="K108" s="2"/>
      <c r="L108" s="2"/>
    </row>
    <row r="109" spans="1:12">
      <c r="A109" s="21" t="s">
        <v>106</v>
      </c>
      <c r="B109" s="18"/>
      <c r="C109" s="18"/>
      <c r="D109" s="18"/>
      <c r="E109" s="18"/>
      <c r="F109" s="18"/>
      <c r="G109" s="20"/>
      <c r="H109" s="20"/>
      <c r="I109" s="2"/>
      <c r="J109" s="2"/>
      <c r="K109" s="2"/>
      <c r="L109" s="2"/>
    </row>
    <row r="110" spans="1:12">
      <c r="A110" s="21" t="s">
        <v>89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95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88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87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90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112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107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/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17" t="s">
        <v>82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83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113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114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99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441" spans="2:2">
      <c r="B441" s="10" t="s">
        <v>108</v>
      </c>
    </row>
  </sheetData>
  <mergeCells count="41">
    <mergeCell ref="H97:J97"/>
    <mergeCell ref="H93:J93"/>
    <mergeCell ref="C82:L82"/>
    <mergeCell ref="B84:L84"/>
    <mergeCell ref="C88:D88"/>
    <mergeCell ref="E88:F88"/>
    <mergeCell ref="H88:J88"/>
    <mergeCell ref="H96:J96"/>
    <mergeCell ref="H90:J90"/>
    <mergeCell ref="A82:B82"/>
    <mergeCell ref="B85:L85"/>
    <mergeCell ref="H94:J94"/>
    <mergeCell ref="H89:J89"/>
    <mergeCell ref="H91:J9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2:J92"/>
    <mergeCell ref="H95:J9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2026-10-13T09:52:05Z</cp:lastPrinted>
  <dcterms:created xsi:type="dcterms:W3CDTF">2021-06-05T07:13:00Z</dcterms:created>
  <dcterms:modified xsi:type="dcterms:W3CDTF">2026-10-14T09:42:16Z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