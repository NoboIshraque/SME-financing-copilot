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68B4702B-4637-A944-BD64-21C4882D57C1}" xr6:coauthVersionLast="47" xr6:coauthVersionMax="47" xr10:uidLastSave="{00000000-0000-0000-0000-000000000000}"/>
  <bookViews>
    <workbookView xWindow="0" yWindow="0" windowWidth="28800" windowHeight="11535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4" l="1"/>
  <c r="G94" i="4"/>
  <c r="G93" i="4"/>
  <c r="G91" i="4"/>
  <c r="G97" i="4"/>
  <c r="G89" i="4"/>
  <c r="G96" i="4"/>
  <c r="G90" i="4"/>
  <c r="G92" i="4"/>
  <c r="L71" i="4"/>
  <c r="G98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<sst xmlns="http://schemas.openxmlformats.org/spreadsheetml/2006/main" count="249" uniqueCount="140">
  <si>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</si>
  <si>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</si>
  <si>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</si>
  <si>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</si>
  <si>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</si>
  <si>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</si>
  <si>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</si>
  <si>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</si>
  <si>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</si>
  <si>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</si>
  <si>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</si>
  <si>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</si>
  <si>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</si>
  <si>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</si>
  <si>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</si>
  <si>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</si>
  <si>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</si>
  <si>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</si>
  <si>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</si>
  <si>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</si>
  <si>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</si>
  <si>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</si>
  <si>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</si>
  <si>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</si>
  <si>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</si>
  <si>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</si>
  <si>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</si>
  <si>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</si>
  <si>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</si>
  <si>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</si>
  <si>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</si>
  <si>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</si>
  <si>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</si>
  <si>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</si>
  <si>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</si>
  <si>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</si>
  <si>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</si>
  <si>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</si>
  <si>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</si>
  <si>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</si>
  <si>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</si>
  <si>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</si>
  <si>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</si>
  <si>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</si>
  <si>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</si>
  <si>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</si>
  <si>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</si>
  <si>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</si>
  <si>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</si>
  <si>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</si>
  <si>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</si>
  <si>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</si>
  <si>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</si>
  <si>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</si>
  <si>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</si>
  <si>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</si>
  <si>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</si>
  <si>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</si>
  <si>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</si>
  <si>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</si>
  <si>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</si>
  <si>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</si>
  <si>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</si>
  <si>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</si>
  <si>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</si>
  <si>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</si>
  <si>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</si>
  <si>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</si>
  <si>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</si>
  <si>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</si>
  <si>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</si>
  <si>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</si>
  <si>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</si>
  <si>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</si>
  <si>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</si>
  <si>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</si>
  <si>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</si>
  <si>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</si>
  <si>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</si>
  <si>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</si>
  <si>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</si>
  <si>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</si>
  <si>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</si>
  <si>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</si>
  <si>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</si>
  <si>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</si>
  <si>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</si>
  <si>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</si>
  <si>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</si>
  <si>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</si>
  <si>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</si>
  <si>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</si>
  <si>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</si>
  <si>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</si>
  <si>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</si>
  <si>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</si>
  <si>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</si>
  <si>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</si>
  <si>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</si>
  <si>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</si>
  <si>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</si>
  <si>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</si>
  <si>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</si>
  <si>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</si>
  <si>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</si>
  <si>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</si>
  <si>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</si>
  <si>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</si>
  <si>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</si>
  <si>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</si>
  <si>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</si>
  <si>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</si>
  <si>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</si>
  <si>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</si>
  <si>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</si>
  <si>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</si>
  <si>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</si>
  <si>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</si>
  <si>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</si>
  <si>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</si>
  <si>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</si>
  <si>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</si>
  <si>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</si>
  <si>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</si>
  <si>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১১-১০-২০২৬ তারিখে মূল্য হ্রাস পেয়েছে।</t>
  </si>
  <si>
    <t>১২-১০-২০২৬ তারিখে মূল্য হ্রাস পেয়েছে।</t>
  </si>
  <si>
    <t>১৩-১০-২০২৬ তারিখে মূল্য হ্রাস পেয়েছে।</t>
  </si>
  <si>
    <t>১৪-১০-২০২৬ তারিখে মূল্য হ্রাস পেয়েছে।</t>
  </si>
  <si>
    <t>১৫-১০-২০২৬ তারিখে মূল্য বৃদ্ধি পেয়েছে।</t>
  </si>
  <si>
    <t xml:space="preserve">নং-২৬.০৫.০০০০.০১৭.৩১.০১.২৬-৮২৫                                                                                                           তারিখঃ ১৬-১০-২০২৬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</si>
  <si>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২৫৯</t>
  </si>
  <si>
    <t xml:space="preserve">শুক্রবার ১৬ অক্টোবর ২০২৬ খ্রিঃ, ৩১ আশ্বিন ১৪৩৩ বাংলা, ০৪ জমা.আউ ১৪৪৮ হিজরি </t>
  </si>
  <si>
    <t>১৬-১০-২০২৬ তারিখে মূল্য বৃদ্ধি পেয়েছে।</t>
  </si>
  <si>
    <t>(২)    চাল (মাঝারী), পাম অয়েল লুজ, দারুচিনি, মুরগী ব্রয়লার, শসা   এর মূল্য হ্রাস পেয়েছে।</t>
  </si>
  <si>
    <t>(১)     ছোলা, রসুন (দেশী, আম), আদা (দেশী, আম)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</si>
</sst>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126228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topLeftCell="B1" zoomScaleNormal="100" workbookViewId="0">
      <selection activeCell="B84" sqref="B84:L84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85" t="s">
        <v>115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 x14ac:dyDescent="0.3">
      <c r="A2" s="86" t="s">
        <v>116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 x14ac:dyDescent="0.3">
      <c r="A3" s="87" t="s">
        <v>130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 x14ac:dyDescent="0.3">
      <c r="A4" s="88" t="s">
        <v>131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1"/>
      <c r="Q4" s="51"/>
      <c r="R4" s="51"/>
    </row>
    <row r="5" spans="1:18" x14ac:dyDescent="0.3">
      <c r="A5" s="89" t="s">
        <v>129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2"/>
      <c r="Q5" s="53"/>
    </row>
    <row r="6" spans="1:18" s="27" customFormat="1" x14ac:dyDescent="0.3">
      <c r="A6" s="90" t="s">
        <v>1</v>
      </c>
      <c r="B6" s="90" t="s">
        <v>2</v>
      </c>
      <c r="C6" s="76" t="s">
        <v>3</v>
      </c>
      <c r="D6" s="78"/>
      <c r="E6" s="76" t="s">
        <v>4</v>
      </c>
      <c r="F6" s="78"/>
      <c r="G6" s="76" t="s">
        <v>5</v>
      </c>
      <c r="H6" s="78"/>
      <c r="I6" s="24" t="s">
        <v>6</v>
      </c>
      <c r="J6" s="76" t="s">
        <v>7</v>
      </c>
      <c r="K6" s="78"/>
      <c r="L6" s="26" t="s">
        <v>8</v>
      </c>
      <c r="M6" s="49"/>
    </row>
    <row r="7" spans="1:18" s="27" customFormat="1" x14ac:dyDescent="0.3">
      <c r="A7" s="91"/>
      <c r="B7" s="91"/>
      <c r="C7" s="94">
        <v>46311</v>
      </c>
      <c r="D7" s="95"/>
      <c r="E7" s="94">
        <v>46304</v>
      </c>
      <c r="F7" s="95"/>
      <c r="G7" s="94">
        <v>46281</v>
      </c>
      <c r="H7" s="95"/>
      <c r="I7" s="24" t="s">
        <v>9</v>
      </c>
      <c r="J7" s="92">
        <v>45946</v>
      </c>
      <c r="K7" s="93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56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-1.6260162601626018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900</v>
      </c>
      <c r="K21" s="37">
        <v>930</v>
      </c>
      <c r="L21" s="47">
        <f t="shared" ref="L21:L25" si="2">((C21+D21)/2-(J21+K21)/2)/((J21+K21)/2)*100</f>
        <v>9.2896174863387984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195</v>
      </c>
      <c r="L23" s="47">
        <f t="shared" si="2"/>
        <v>6.5274151436031342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166</v>
      </c>
      <c r="H24" s="37">
        <v>172</v>
      </c>
      <c r="I24" s="46">
        <f t="shared" si="1"/>
        <v>1.4792899408284024</v>
      </c>
      <c r="J24" s="37">
        <v>153</v>
      </c>
      <c r="K24" s="37">
        <v>162</v>
      </c>
      <c r="L24" s="47">
        <f t="shared" si="2"/>
        <v>8.8888888888888893</v>
      </c>
      <c r="M24" s="49">
        <f t="shared" si="0"/>
        <v>-0.57971014492753625</v>
      </c>
    </row>
    <row r="25" spans="1:13" s="27" customFormat="1" x14ac:dyDescent="0.3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178</v>
      </c>
      <c r="I25" s="46">
        <f t="shared" si="1"/>
        <v>2.0114942528735633</v>
      </c>
      <c r="J25" s="37">
        <v>155</v>
      </c>
      <c r="K25" s="37">
        <v>168</v>
      </c>
      <c r="L25" s="47">
        <f t="shared" si="2"/>
        <v>9.9071207430340564</v>
      </c>
      <c r="M25" s="49">
        <f t="shared" si="0"/>
        <v>0</v>
      </c>
    </row>
    <row r="26" spans="1:13" s="27" customFormat="1" x14ac:dyDescent="0.3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105</v>
      </c>
      <c r="D33" s="37">
        <v>120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7.1428571428571423</v>
      </c>
      <c r="J33" s="37">
        <v>100</v>
      </c>
      <c r="K33" s="37">
        <v>110</v>
      </c>
      <c r="L33" s="47">
        <f t="shared" si="4"/>
        <v>7.1428571428571423</v>
      </c>
      <c r="M33" s="49">
        <f t="shared" si="0"/>
        <v>7.1428571428571423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85</v>
      </c>
      <c r="L36" s="47">
        <f t="shared" ref="L36:L50" si="6">((C36+D36)/2-(J36+K36)/2)/((J36+K36)/2)*100</f>
        <v>-29.032258064516132</v>
      </c>
      <c r="M36" s="49">
        <f>((C36+D36)/2-(E36+F36)/2)/((E36+F36)/2)*100</f>
        <v>0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100</v>
      </c>
      <c r="D38" s="37">
        <v>140</v>
      </c>
      <c r="E38" s="37">
        <v>90</v>
      </c>
      <c r="F38" s="37">
        <v>140</v>
      </c>
      <c r="G38" s="37">
        <v>100</v>
      </c>
      <c r="H38" s="37">
        <v>120</v>
      </c>
      <c r="I38" s="46">
        <f t="shared" si="5"/>
        <v>9.0909090909090917</v>
      </c>
      <c r="J38" s="37">
        <v>100</v>
      </c>
      <c r="K38" s="37">
        <v>140</v>
      </c>
      <c r="L38" s="47">
        <f t="shared" si="6"/>
        <v>0</v>
      </c>
      <c r="M38" s="49">
        <f t="shared" si="0"/>
        <v>4.3478260869565215</v>
      </c>
    </row>
    <row r="39" spans="1:13" s="48" customFormat="1" ht="18.75" x14ac:dyDescent="0.25">
      <c r="A39" s="43" t="s">
        <v>41</v>
      </c>
      <c r="B39" s="44" t="s">
        <v>14</v>
      </c>
      <c r="C39" s="39">
        <v>160</v>
      </c>
      <c r="D39" s="37">
        <v>230</v>
      </c>
      <c r="E39" s="39">
        <v>160</v>
      </c>
      <c r="F39" s="37">
        <v>200</v>
      </c>
      <c r="G39" s="39">
        <v>160</v>
      </c>
      <c r="H39" s="37">
        <v>200</v>
      </c>
      <c r="I39" s="46">
        <f t="shared" si="5"/>
        <v>8.3333333333333321</v>
      </c>
      <c r="J39" s="37">
        <v>130</v>
      </c>
      <c r="K39" s="37">
        <v>200</v>
      </c>
      <c r="L39" s="47">
        <f t="shared" si="6"/>
        <v>18.181818181818183</v>
      </c>
      <c r="M39" s="49">
        <f t="shared" si="0"/>
        <v>8.3333333333333321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140</v>
      </c>
      <c r="E44" s="37">
        <v>100</v>
      </c>
      <c r="F44" s="37">
        <v>140</v>
      </c>
      <c r="G44" s="37">
        <v>120</v>
      </c>
      <c r="H44" s="37">
        <v>140</v>
      </c>
      <c r="I44" s="46">
        <f t="shared" si="5"/>
        <v>0</v>
      </c>
      <c r="J44" s="37">
        <v>180</v>
      </c>
      <c r="K44" s="37">
        <v>200</v>
      </c>
      <c r="L44" s="47">
        <f>((C44+D44)/2-(J44+K44)/2)/((J44+K44)/2)*100</f>
        <v>-31.578947368421051</v>
      </c>
      <c r="M44" s="49">
        <f t="shared" si="0"/>
        <v>8.3333333333333321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220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17.241379310344829</v>
      </c>
      <c r="J45" s="37">
        <v>130</v>
      </c>
      <c r="K45" s="37">
        <v>250</v>
      </c>
      <c r="L45" s="47">
        <f t="shared" si="6"/>
        <v>-10.526315789473683</v>
      </c>
      <c r="M45" s="49">
        <f t="shared" si="0"/>
        <v>13.333333333333334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480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-1.8181818181818181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0</v>
      </c>
      <c r="D54" s="37">
        <v>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-100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-2.6315789473684208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 x14ac:dyDescent="0.3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 x14ac:dyDescent="0.3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 x14ac:dyDescent="0.3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 x14ac:dyDescent="0.3">
      <c r="A68" s="90" t="s">
        <v>1</v>
      </c>
      <c r="B68" s="90" t="s">
        <v>2</v>
      </c>
      <c r="C68" s="76" t="s">
        <v>3</v>
      </c>
      <c r="D68" s="78"/>
      <c r="E68" s="76" t="s">
        <v>4</v>
      </c>
      <c r="F68" s="78"/>
      <c r="G68" s="76" t="s">
        <v>5</v>
      </c>
      <c r="H68" s="78"/>
      <c r="I68" s="24" t="s">
        <v>6</v>
      </c>
      <c r="J68" s="76" t="s">
        <v>7</v>
      </c>
      <c r="K68" s="78"/>
      <c r="L68" s="24" t="s">
        <v>8</v>
      </c>
    </row>
    <row r="69" spans="1:13" ht="18" customHeight="1" x14ac:dyDescent="0.3">
      <c r="A69" s="91"/>
      <c r="B69" s="91"/>
      <c r="C69" s="94">
        <v>46311</v>
      </c>
      <c r="D69" s="95"/>
      <c r="E69" s="94">
        <v>46304</v>
      </c>
      <c r="F69" s="95"/>
      <c r="G69" s="94">
        <v>46281</v>
      </c>
      <c r="H69" s="95"/>
      <c r="I69" s="24" t="s">
        <v>9</v>
      </c>
      <c r="J69" s="92">
        <v>45946</v>
      </c>
      <c r="K69" s="93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3">
      <c r="A71" s="43" t="s">
        <v>66</v>
      </c>
      <c r="B71" s="44" t="s">
        <v>14</v>
      </c>
      <c r="C71" s="37">
        <v>110</v>
      </c>
      <c r="D71" s="37">
        <v>115</v>
      </c>
      <c r="E71" s="37">
        <v>108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75">
        <v>100</v>
      </c>
      <c r="K71" s="75">
        <v>110</v>
      </c>
      <c r="L71" s="47">
        <f>((C71+D71)/2-(J71+K71)/2)/((J71+K71)/2)*100</f>
        <v>7.1428571428571423</v>
      </c>
      <c r="M71" s="49">
        <f t="shared" si="0"/>
        <v>0.89686098654708524</v>
      </c>
    </row>
    <row r="72" spans="1:13" s="49" customFormat="1" x14ac:dyDescent="0.3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75">
        <v>220</v>
      </c>
      <c r="K72" s="75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x14ac:dyDescent="0.3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75">
        <v>38</v>
      </c>
      <c r="K73" s="75">
        <v>42</v>
      </c>
      <c r="L73" s="47">
        <f t="shared" si="10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100</v>
      </c>
      <c r="D75" s="37">
        <v>180</v>
      </c>
      <c r="E75" s="37">
        <v>100</v>
      </c>
      <c r="F75" s="37">
        <v>180</v>
      </c>
      <c r="G75" s="37">
        <v>80</v>
      </c>
      <c r="H75" s="37">
        <v>160</v>
      </c>
      <c r="I75" s="46">
        <f t="shared" si="9"/>
        <v>16.666666666666664</v>
      </c>
      <c r="J75" s="45">
        <v>200</v>
      </c>
      <c r="K75" s="45">
        <v>220</v>
      </c>
      <c r="L75" s="47">
        <f t="shared" si="10"/>
        <v>-33.333333333333329</v>
      </c>
      <c r="M75" s="49">
        <f t="shared" si="11"/>
        <v>0</v>
      </c>
    </row>
    <row r="76" spans="1:13" s="49" customFormat="1" ht="18.75" x14ac:dyDescent="0.2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120</v>
      </c>
      <c r="G76" s="37">
        <v>80</v>
      </c>
      <c r="H76" s="37">
        <v>120</v>
      </c>
      <c r="I76" s="46">
        <f t="shared" si="9"/>
        <v>0</v>
      </c>
      <c r="J76" s="45">
        <v>70</v>
      </c>
      <c r="K76" s="45">
        <v>150</v>
      </c>
      <c r="L76" s="47">
        <f t="shared" si="10"/>
        <v>-9.0909090909090917</v>
      </c>
      <c r="M76" s="49">
        <f t="shared" si="11"/>
        <v>0</v>
      </c>
    </row>
    <row r="77" spans="1:13" s="49" customFormat="1" ht="18.75" x14ac:dyDescent="0.2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50</v>
      </c>
      <c r="H77" s="37">
        <v>80</v>
      </c>
      <c r="I77" s="46">
        <f t="shared" si="9"/>
        <v>7.6923076923076925</v>
      </c>
      <c r="J77" s="45">
        <v>50</v>
      </c>
      <c r="K77" s="45">
        <v>80</v>
      </c>
      <c r="L77" s="47">
        <f t="shared" si="10"/>
        <v>7.6923076923076925</v>
      </c>
      <c r="M77" s="49">
        <f t="shared" si="11"/>
        <v>-6.666666666666667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47</v>
      </c>
      <c r="D78" s="42">
        <v>50</v>
      </c>
      <c r="E78" s="42">
        <v>47</v>
      </c>
      <c r="F78" s="42">
        <v>50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0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 x14ac:dyDescent="0.3">
      <c r="A82" s="83" t="s">
        <v>117</v>
      </c>
      <c r="B82" s="84"/>
      <c r="C82" s="79" t="s">
        <v>123</v>
      </c>
      <c r="D82" s="79"/>
      <c r="E82" s="79"/>
      <c r="F82" s="79"/>
      <c r="G82" s="79"/>
      <c r="H82" s="79"/>
      <c r="I82" s="79"/>
      <c r="J82" s="79"/>
      <c r="K82" s="79"/>
      <c r="L82" s="79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80" t="s">
        <v>134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 x14ac:dyDescent="0.3">
      <c r="A85" s="61"/>
      <c r="B85" s="80" t="s">
        <v>133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3" x14ac:dyDescent="0.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 x14ac:dyDescent="0.3">
      <c r="A88" s="23" t="s">
        <v>76</v>
      </c>
      <c r="B88" s="24" t="s">
        <v>77</v>
      </c>
      <c r="C88" s="76" t="s">
        <v>3</v>
      </c>
      <c r="D88" s="78"/>
      <c r="E88" s="81" t="s">
        <v>78</v>
      </c>
      <c r="F88" s="82"/>
      <c r="G88" s="25" t="s">
        <v>9</v>
      </c>
      <c r="H88" s="76" t="s">
        <v>79</v>
      </c>
      <c r="I88" s="77"/>
      <c r="J88" s="78"/>
      <c r="K88" s="9"/>
      <c r="L88" s="2"/>
    </row>
    <row r="89" spans="1:13" x14ac:dyDescent="0.3">
      <c r="A89" s="43" t="s">
        <v>93</v>
      </c>
      <c r="B89" s="44" t="s">
        <v>14</v>
      </c>
      <c r="C89" s="37">
        <v>56</v>
      </c>
      <c r="D89" s="37">
        <v>65</v>
      </c>
      <c r="E89" s="37">
        <v>58</v>
      </c>
      <c r="F89" s="37">
        <v>65</v>
      </c>
      <c r="G89" s="30">
        <f t="shared" ref="G89:G98" si="12">((C89+D89)/2-(E89+F89)/2)/((E89+F89)/2)*100</f>
        <v>-1.6260162601626018</v>
      </c>
      <c r="H89" s="76" t="s">
        <v>126</v>
      </c>
      <c r="I89" s="77"/>
      <c r="J89" s="78"/>
      <c r="K89" s="9"/>
      <c r="L89" s="72"/>
    </row>
    <row r="90" spans="1:13" x14ac:dyDescent="0.3">
      <c r="A90" s="43" t="s">
        <v>29</v>
      </c>
      <c r="B90" s="44" t="s">
        <v>24</v>
      </c>
      <c r="C90" s="37">
        <v>168</v>
      </c>
      <c r="D90" s="37">
        <v>175</v>
      </c>
      <c r="E90" s="37">
        <v>170</v>
      </c>
      <c r="F90" s="37">
        <v>175</v>
      </c>
      <c r="G90" s="30">
        <f t="shared" si="12"/>
        <v>-0.57971014492753625</v>
      </c>
      <c r="H90" s="76" t="s">
        <v>124</v>
      </c>
      <c r="I90" s="77"/>
      <c r="J90" s="78"/>
      <c r="K90" s="9"/>
      <c r="L90" s="71"/>
    </row>
    <row r="91" spans="1:13" x14ac:dyDescent="0.3">
      <c r="A91" s="43" t="s">
        <v>37</v>
      </c>
      <c r="B91" s="44" t="s">
        <v>14</v>
      </c>
      <c r="C91" s="37">
        <v>105</v>
      </c>
      <c r="D91" s="37">
        <v>120</v>
      </c>
      <c r="E91" s="37">
        <v>100</v>
      </c>
      <c r="F91" s="37">
        <v>110</v>
      </c>
      <c r="G91" s="30">
        <f t="shared" si="12"/>
        <v>7.1428571428571423</v>
      </c>
      <c r="H91" s="76" t="s">
        <v>132</v>
      </c>
      <c r="I91" s="77"/>
      <c r="J91" s="78"/>
      <c r="K91" s="9"/>
      <c r="L91" s="73"/>
    </row>
    <row r="92" spans="1:13" x14ac:dyDescent="0.3">
      <c r="A92" s="43" t="s">
        <v>40</v>
      </c>
      <c r="B92" s="44" t="s">
        <v>14</v>
      </c>
      <c r="C92" s="37">
        <v>100</v>
      </c>
      <c r="D92" s="37">
        <v>140</v>
      </c>
      <c r="E92" s="37">
        <v>90</v>
      </c>
      <c r="F92" s="37">
        <v>140</v>
      </c>
      <c r="G92" s="30">
        <f t="shared" si="12"/>
        <v>4.3478260869565215</v>
      </c>
      <c r="H92" s="76" t="s">
        <v>128</v>
      </c>
      <c r="I92" s="77"/>
      <c r="J92" s="78"/>
      <c r="K92" s="9"/>
      <c r="L92" s="70"/>
    </row>
    <row r="93" spans="1:13" x14ac:dyDescent="0.3">
      <c r="A93" s="43" t="s">
        <v>41</v>
      </c>
      <c r="B93" s="44" t="s">
        <v>14</v>
      </c>
      <c r="C93" s="39">
        <v>160</v>
      </c>
      <c r="D93" s="37">
        <v>230</v>
      </c>
      <c r="E93" s="39">
        <v>160</v>
      </c>
      <c r="F93" s="37">
        <v>200</v>
      </c>
      <c r="G93" s="30">
        <f t="shared" si="12"/>
        <v>8.3333333333333321</v>
      </c>
      <c r="H93" s="76" t="s">
        <v>132</v>
      </c>
      <c r="I93" s="77"/>
      <c r="J93" s="78"/>
      <c r="K93" s="9"/>
      <c r="L93" s="74"/>
    </row>
    <row r="94" spans="1:13" x14ac:dyDescent="0.3">
      <c r="A94" s="43" t="s">
        <v>46</v>
      </c>
      <c r="B94" s="44" t="s">
        <v>14</v>
      </c>
      <c r="C94" s="37">
        <v>120</v>
      </c>
      <c r="D94" s="37">
        <v>140</v>
      </c>
      <c r="E94" s="37">
        <v>100</v>
      </c>
      <c r="F94" s="37">
        <v>140</v>
      </c>
      <c r="G94" s="30">
        <f t="shared" si="12"/>
        <v>8.3333333333333321</v>
      </c>
      <c r="H94" s="76" t="s">
        <v>132</v>
      </c>
      <c r="I94" s="77"/>
      <c r="J94" s="78"/>
      <c r="K94" s="9"/>
      <c r="L94" s="74"/>
    </row>
    <row r="95" spans="1:13" x14ac:dyDescent="0.3">
      <c r="A95" s="43" t="s">
        <v>47</v>
      </c>
      <c r="B95" s="44" t="s">
        <v>14</v>
      </c>
      <c r="C95" s="37">
        <v>120</v>
      </c>
      <c r="D95" s="37">
        <v>220</v>
      </c>
      <c r="E95" s="37">
        <v>120</v>
      </c>
      <c r="F95" s="37">
        <v>180</v>
      </c>
      <c r="G95" s="30">
        <f t="shared" si="12"/>
        <v>13.333333333333334</v>
      </c>
      <c r="H95" s="76" t="s">
        <v>132</v>
      </c>
      <c r="I95" s="77"/>
      <c r="J95" s="78"/>
      <c r="K95" s="9"/>
      <c r="L95" s="74"/>
    </row>
    <row r="96" spans="1:13" x14ac:dyDescent="0.3">
      <c r="A96" s="43" t="s">
        <v>49</v>
      </c>
      <c r="B96" s="44" t="s">
        <v>14</v>
      </c>
      <c r="C96" s="37">
        <v>480</v>
      </c>
      <c r="D96" s="37">
        <v>600</v>
      </c>
      <c r="E96" s="37">
        <v>500</v>
      </c>
      <c r="F96" s="37">
        <v>600</v>
      </c>
      <c r="G96" s="30">
        <f t="shared" si="12"/>
        <v>-1.8181818181818181</v>
      </c>
      <c r="H96" s="76" t="s">
        <v>125</v>
      </c>
      <c r="I96" s="77"/>
      <c r="J96" s="78"/>
      <c r="K96" s="9"/>
      <c r="L96" s="72"/>
    </row>
    <row r="97" spans="1:12" x14ac:dyDescent="0.3">
      <c r="A97" s="43" t="s">
        <v>57</v>
      </c>
      <c r="B97" s="44" t="s">
        <v>14</v>
      </c>
      <c r="C97" s="37">
        <v>180</v>
      </c>
      <c r="D97" s="37">
        <v>190</v>
      </c>
      <c r="E97" s="37">
        <v>180</v>
      </c>
      <c r="F97" s="37">
        <v>200</v>
      </c>
      <c r="G97" s="30">
        <f t="shared" si="12"/>
        <v>-2.6315789473684208</v>
      </c>
      <c r="H97" s="76" t="s">
        <v>127</v>
      </c>
      <c r="I97" s="77"/>
      <c r="J97" s="78"/>
      <c r="K97" s="9"/>
      <c r="L97" s="73"/>
    </row>
    <row r="98" spans="1:12" x14ac:dyDescent="0.3">
      <c r="A98" s="43" t="s">
        <v>104</v>
      </c>
      <c r="B98" s="50" t="s">
        <v>14</v>
      </c>
      <c r="C98" s="37">
        <v>60</v>
      </c>
      <c r="D98" s="37">
        <v>80</v>
      </c>
      <c r="E98" s="37">
        <v>70</v>
      </c>
      <c r="F98" s="37">
        <v>80</v>
      </c>
      <c r="G98" s="30">
        <f t="shared" si="12"/>
        <v>-6.666666666666667</v>
      </c>
      <c r="H98" s="76" t="s">
        <v>124</v>
      </c>
      <c r="I98" s="77"/>
      <c r="J98" s="78"/>
      <c r="K98" s="9"/>
      <c r="L98" s="67"/>
    </row>
    <row r="99" spans="1:12" x14ac:dyDescent="0.3">
      <c r="A99" s="62"/>
      <c r="B99" s="63"/>
      <c r="C99" s="57"/>
      <c r="D99" s="57"/>
      <c r="E99" s="57"/>
      <c r="F99" s="57"/>
      <c r="G99" s="58"/>
      <c r="H99" s="69"/>
      <c r="I99" s="69"/>
      <c r="J99" s="69"/>
      <c r="K99" s="9"/>
      <c r="L99" s="68"/>
    </row>
    <row r="100" spans="1:12" x14ac:dyDescent="0.3">
      <c r="A100" s="62"/>
      <c r="B100" s="63"/>
      <c r="C100" s="57"/>
      <c r="D100" s="57"/>
      <c r="E100" s="57"/>
      <c r="F100" s="57"/>
      <c r="G100" s="58"/>
      <c r="H100" s="69"/>
      <c r="I100" s="69"/>
      <c r="J100" s="69"/>
      <c r="K100" s="9"/>
      <c r="L100" s="67"/>
    </row>
    <row r="101" spans="1:12" x14ac:dyDescent="0.3">
      <c r="A101" s="54"/>
      <c r="B101" s="55"/>
      <c r="C101" s="56"/>
      <c r="D101" s="57"/>
      <c r="E101" s="56"/>
      <c r="F101" s="57"/>
      <c r="G101" s="58"/>
      <c r="H101" s="6"/>
      <c r="I101" s="1"/>
      <c r="J101" s="1"/>
      <c r="K101" s="9"/>
      <c r="L101" s="11"/>
    </row>
    <row r="102" spans="1:12" x14ac:dyDescent="0.3">
      <c r="A102" s="6"/>
      <c r="B102" s="12"/>
      <c r="C102" s="3"/>
      <c r="D102" s="3"/>
      <c r="E102" s="3"/>
      <c r="F102" s="3"/>
      <c r="G102" s="4"/>
      <c r="H102" s="6"/>
      <c r="I102" s="1"/>
      <c r="J102" s="1"/>
      <c r="K102" s="11"/>
      <c r="L102" s="11"/>
    </row>
    <row r="103" spans="1:12" x14ac:dyDescent="0.3">
      <c r="A103" s="6"/>
      <c r="B103" s="13" t="s">
        <v>110</v>
      </c>
      <c r="C103" s="2"/>
      <c r="E103" s="6"/>
      <c r="F103" s="13" t="s">
        <v>119</v>
      </c>
      <c r="G103" s="2"/>
      <c r="I103" s="14"/>
      <c r="J103" s="1"/>
      <c r="K103" s="2"/>
      <c r="L103" s="11"/>
    </row>
    <row r="104" spans="1:12" x14ac:dyDescent="0.3">
      <c r="A104" s="15"/>
      <c r="B104" s="13" t="s">
        <v>109</v>
      </c>
      <c r="C104" s="1"/>
      <c r="E104" s="15"/>
      <c r="F104" s="13" t="s">
        <v>120</v>
      </c>
      <c r="G104" s="1"/>
      <c r="I104" s="2"/>
      <c r="J104" s="1"/>
      <c r="L104" s="11"/>
    </row>
    <row r="105" spans="1:12" x14ac:dyDescent="0.3">
      <c r="A105" s="6"/>
      <c r="C105" s="5"/>
      <c r="D105" s="5"/>
      <c r="E105" s="1"/>
      <c r="F105" s="5"/>
      <c r="G105" s="4"/>
      <c r="H105" s="16"/>
      <c r="I105" s="11"/>
      <c r="J105" s="11"/>
      <c r="K105" s="11"/>
      <c r="L105" s="11"/>
    </row>
    <row r="106" spans="1:12" x14ac:dyDescent="0.3">
      <c r="A106" s="17" t="s">
        <v>86</v>
      </c>
      <c r="B106" s="18"/>
      <c r="C106" s="19"/>
      <c r="D106" s="18"/>
      <c r="E106" s="19"/>
      <c r="F106" s="19"/>
      <c r="G106" s="19"/>
      <c r="H106" s="20"/>
      <c r="I106" s="2"/>
      <c r="J106" s="2"/>
      <c r="K106" s="2"/>
      <c r="L106" s="2"/>
    </row>
    <row r="107" spans="1:12" x14ac:dyDescent="0.3">
      <c r="A107" s="21" t="s">
        <v>111</v>
      </c>
      <c r="B107" s="18"/>
      <c r="C107" s="19"/>
      <c r="D107" s="18"/>
      <c r="E107" s="19"/>
      <c r="F107" s="19"/>
      <c r="G107" s="18"/>
      <c r="H107" s="20"/>
      <c r="I107" s="2"/>
      <c r="J107" s="2"/>
      <c r="K107" s="2"/>
      <c r="L107" s="2"/>
    </row>
    <row r="108" spans="1:12" x14ac:dyDescent="0.3">
      <c r="A108" s="21" t="s">
        <v>105</v>
      </c>
      <c r="B108" s="18"/>
      <c r="C108" s="18"/>
      <c r="D108" s="18"/>
      <c r="E108" s="18"/>
      <c r="F108" s="19"/>
      <c r="G108" s="18"/>
      <c r="H108" s="20"/>
      <c r="I108" s="2"/>
      <c r="J108" s="2"/>
      <c r="K108" s="2"/>
      <c r="L108" s="2"/>
    </row>
    <row r="109" spans="1:12" x14ac:dyDescent="0.3">
      <c r="A109" s="21" t="s">
        <v>80</v>
      </c>
      <c r="B109" s="18"/>
      <c r="C109" s="18"/>
      <c r="D109" s="18"/>
      <c r="E109" s="18"/>
      <c r="F109" s="20"/>
      <c r="G109" s="20"/>
      <c r="H109" s="20"/>
      <c r="I109" s="2"/>
      <c r="J109" s="2"/>
      <c r="K109" s="2"/>
      <c r="L109" s="2"/>
    </row>
    <row r="110" spans="1:12" x14ac:dyDescent="0.3">
      <c r="A110" s="21" t="s">
        <v>106</v>
      </c>
      <c r="B110" s="18"/>
      <c r="C110" s="18"/>
      <c r="D110" s="18"/>
      <c r="E110" s="18"/>
      <c r="F110" s="18"/>
      <c r="G110" s="20"/>
      <c r="H110" s="20"/>
      <c r="I110" s="2"/>
      <c r="J110" s="2"/>
      <c r="K110" s="2"/>
      <c r="L110" s="2"/>
    </row>
    <row r="111" spans="1:12" x14ac:dyDescent="0.3">
      <c r="A111" s="21" t="s">
        <v>89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 x14ac:dyDescent="0.3">
      <c r="A112" s="21" t="s">
        <v>95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 x14ac:dyDescent="0.3">
      <c r="A113" s="21" t="s">
        <v>88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 x14ac:dyDescent="0.3">
      <c r="A114" s="21" t="s">
        <v>87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81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 x14ac:dyDescent="0.3">
      <c r="A116" s="21" t="s">
        <v>90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 x14ac:dyDescent="0.3">
      <c r="A117" s="21" t="s">
        <v>112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 x14ac:dyDescent="0.3">
      <c r="A118" s="21" t="s">
        <v>91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 x14ac:dyDescent="0.3">
      <c r="A119" s="21" t="s">
        <v>92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 x14ac:dyDescent="0.3">
      <c r="A120" s="21" t="s">
        <v>107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 x14ac:dyDescent="0.3">
      <c r="A121" s="21"/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 x14ac:dyDescent="0.3">
      <c r="A122" s="17" t="s">
        <v>82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 x14ac:dyDescent="0.3">
      <c r="A123" s="21" t="s">
        <v>83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 x14ac:dyDescent="0.3">
      <c r="A124" s="21" t="s">
        <v>113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 x14ac:dyDescent="0.3">
      <c r="A125" s="21" t="s">
        <v>114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 x14ac:dyDescent="0.3">
      <c r="A126" s="21" t="s">
        <v>99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442" spans="2:2" x14ac:dyDescent="0.3">
      <c r="B442" s="10" t="s">
        <v>108</v>
      </c>
    </row>
  </sheetData>
  <mergeCells count="42">
    <mergeCell ref="H93:J93"/>
    <mergeCell ref="H94:J94"/>
    <mergeCell ref="H95:J9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2:J92"/>
    <mergeCell ref="C82:L82"/>
    <mergeCell ref="B84:L84"/>
    <mergeCell ref="C88:D88"/>
    <mergeCell ref="E88:F88"/>
    <mergeCell ref="H88:J88"/>
    <mergeCell ref="H98:J98"/>
    <mergeCell ref="A82:B82"/>
    <mergeCell ref="B85:L85"/>
    <mergeCell ref="H96:J96"/>
    <mergeCell ref="H89:J89"/>
    <mergeCell ref="H90:J90"/>
    <mergeCell ref="H91:J91"/>
    <mergeCell ref="H97:J9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2026-10-13T09:52:05Z</cp:lastPrinted>
  <dcterms:created xsi:type="dcterms:W3CDTF">2021-06-05T07:13:00Z</dcterms:created>
  <dcterms:modified xsi:type="dcterms:W3CDTF">2026-10-15T09:51:28Z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